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ing &amp; Margins" sheetId="1" state="visible" r:id="rId3"/>
    <sheet name="Feature Comparison" sheetId="2" state="visible" r:id="rId4"/>
    <sheet name="Quote Template" sheetId="3" state="visible" r:id="rId5"/>
    <sheet name="Invoice Templat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<sst xmlns="http://schemas.openxmlformats.org/spreadsheetml/2006/main" count="202" uniqueCount="139">
  <si>
    <t xml:space="preserve">A&amp;A CREATIONS — Website Packages: Pricing &amp; Margin Calculator</t>
  </si>
  <si>
    <t xml:space="preserve">Change the two blue assumption cells below — every price, cost, and margin on this sheet recalculates automatically.</t>
  </si>
  <si>
    <t xml:space="preserve">ASSUMPTIONS</t>
  </si>
  <si>
    <t xml:space="preserve">Your internal cost rate (₹/hour)</t>
  </si>
  <si>
    <t xml:space="preserve">Minimum acceptable margin (floor)</t>
  </si>
  <si>
    <t xml:space="preserve">Note: 'internal cost rate' = what an hour of your time (or a hired freelancer's) is really worth. Raise it once you bring on help.</t>
  </si>
  <si>
    <t xml:space="preserve">Package</t>
  </si>
  <si>
    <t xml:space="preserve">What it's for</t>
  </si>
  <si>
    <t xml:space="preserve">Est. Build Hours</t>
  </si>
  <si>
    <t xml:space="preserve">List Price</t>
  </si>
  <si>
    <t xml:space="preserve">Internal Cost</t>
  </si>
  <si>
    <t xml:space="preserve">Profit</t>
  </si>
  <si>
    <t xml:space="preserve">Margin %</t>
  </si>
  <si>
    <t xml:space="preserve">Min Viable Price
(at floor margin)</t>
  </si>
  <si>
    <t xml:space="preserve">Max Discount You
Can Safely Offer</t>
  </si>
  <si>
    <t xml:space="preserve">Breakeven Hours</t>
  </si>
  <si>
    <t xml:space="preserve">Safety Multiple</t>
  </si>
  <si>
    <t xml:space="preserve">Status</t>
  </si>
  <si>
    <t xml:space="preserve">Starter</t>
  </si>
  <si>
    <t xml:space="preserve">One-page relaunch for a business that just needs a credible, mobile-friendly presence</t>
  </si>
  <si>
    <t xml:space="preserve">Growth</t>
  </si>
  <si>
    <t xml:space="preserve">Multi-page site built to generate inquiries — the most-picked tier</t>
  </si>
  <si>
    <t xml:space="preserve">Custom</t>
  </si>
  <si>
    <t xml:space="preserve">Bookings, payments, catalogs — scoped after a free audit call</t>
  </si>
  <si>
    <t xml:space="preserve">À LA CARTE ADD-ONS</t>
  </si>
  <si>
    <t xml:space="preserve">WhatsApp Business setup</t>
  </si>
  <si>
    <t xml:space="preserve">Click-to-chat button + in-chat catalog listing</t>
  </si>
  <si>
    <t xml:space="preserve">Extra page</t>
  </si>
  <si>
    <t xml:space="preserve">Beyond your package's included page count</t>
  </si>
  <si>
    <t xml:space="preserve">Copywriting (per page)</t>
  </si>
  <si>
    <t xml:space="preserve">We write the words, you just approve them</t>
  </si>
  <si>
    <t xml:space="preserve">Custom logo design</t>
  </si>
  <si>
    <t xml:space="preserve">For businesses that don't have one yet</t>
  </si>
  <si>
    <t xml:space="preserve">Extra revision round</t>
  </si>
  <si>
    <t xml:space="preserve">Beyond what's included in your package</t>
  </si>
  <si>
    <t xml:space="preserve">Rush delivery</t>
  </si>
  <si>
    <t xml:space="preserve">Cuts delivery time roughly in half</t>
  </si>
  <si>
    <t xml:space="preserve">Basic SEO setup</t>
  </si>
  <si>
    <t xml:space="preserve">Keyword targeting, meta tags, sitemap, search console</t>
  </si>
  <si>
    <t xml:space="preserve">Google Business Profile setup</t>
  </si>
  <si>
    <t xml:space="preserve">Claim, optimize, and connect your Maps listing</t>
  </si>
  <si>
    <t xml:space="preserve">AI/GEO visibility package</t>
  </si>
  <si>
    <t xml:space="preserve">Structured data + FAQ schema so you're findable in ChatGPT/Perplexity/AI Overviews</t>
  </si>
  <si>
    <t xml:space="preserve">Booking/appointment system</t>
  </si>
  <si>
    <t xml:space="preserve">Online scheduling with calendar sync</t>
  </si>
  <si>
    <t xml:space="preserve">Online payments (up to 20 products)</t>
  </si>
  <si>
    <t xml:space="preserve">Cart + checkout for a small product catalog</t>
  </si>
  <si>
    <t xml:space="preserve">Additional language</t>
  </si>
  <si>
    <t xml:space="preserve">Per extra language, translated + localized</t>
  </si>
  <si>
    <t xml:space="preserve">Monthly Care Plan</t>
  </si>
  <si>
    <t xml:space="preserve">Hosting mgmt, backups, uptime checks, up to 30 min edits/mo</t>
  </si>
  <si>
    <t xml:space="preserve">Monthly Growth Plan</t>
  </si>
  <si>
    <t xml:space="preserve">Care Plan + 2 hrs of updates/mo + a monthly performance report</t>
  </si>
  <si>
    <t xml:space="preserve">How to read "Max Discount You Can Safely Offer": that's the biggest % you can knock off the list price and still land exactly on your margin floor. Anything less than that discount keeps you above the floor — comfortably profitable.</t>
  </si>
  <si>
    <t xml:space="preserve">"Breakeven Hours" = how long a project would need to take before you actually lose money at your cost rate. "Safety Multiple" = Breakeven Hours ÷ your time estimate — e.g. 4.4x means the job would need to take 4.4 times longer than planned before it becomes a loss. Anything below 2x is worth re-pricing; everything here is currently well above that.</t>
  </si>
  <si>
    <t xml:space="preserve">A&amp;A CREATIONS — What's Included, By Package</t>
  </si>
  <si>
    <t xml:space="preserve">Use this as your client-facing comparison sheet — copy it into proposals or show it live on a call.</t>
  </si>
  <si>
    <t xml:space="preserve">Feature</t>
  </si>
  <si>
    <t xml:space="preserve">Starter · ₹7,999</t>
  </si>
  <si>
    <t xml:space="preserve">Growth · ₹19,999</t>
  </si>
  <si>
    <t xml:space="preserve">Custom · From ₹34,999</t>
  </si>
  <si>
    <t xml:space="preserve">Number of pages</t>
  </si>
  <si>
    <t xml:space="preserve">1 page</t>
  </si>
  <si>
    <t xml:space="preserve">Up to 6 pages</t>
  </si>
  <si>
    <t xml:space="preserve">12+ pages</t>
  </si>
  <si>
    <t xml:space="preserve">Mobile-first responsive design</t>
  </si>
  <si>
    <t xml:space="preserve">Yes</t>
  </si>
  <si>
    <t xml:space="preserve">Contact form + click-to-call</t>
  </si>
  <si>
    <t xml:space="preserve">Google Maps + business hours</t>
  </si>
  <si>
    <t xml:space="preserve">Photo gallery / portfolio section</t>
  </si>
  <si>
    <t xml:space="preserve">-</t>
  </si>
  <si>
    <t xml:space="preserve">Booking / quote request form</t>
  </si>
  <si>
    <t xml:space="preserve">Basic on-page SEO setup</t>
  </si>
  <si>
    <t xml:space="preserve">Google Business Profile sync</t>
  </si>
  <si>
    <t xml:space="preserve">Blog / news section</t>
  </si>
  <si>
    <t xml:space="preserve">Add-on</t>
  </si>
  <si>
    <t xml:space="preserve">AI/GEO visibility optimization</t>
  </si>
  <si>
    <t xml:space="preserve">Online payments / e-commerce</t>
  </si>
  <si>
    <t xml:space="preserve">Multi-language support</t>
  </si>
  <si>
    <t xml:space="preserve">Revision rounds included</t>
  </si>
  <si>
    <t xml:space="preserve">1</t>
  </si>
  <si>
    <t xml:space="preserve">3</t>
  </si>
  <si>
    <t xml:space="preserve">5</t>
  </si>
  <si>
    <t xml:space="preserve">Typical delivery time</t>
  </si>
  <si>
    <t xml:space="preserve">5-7 days</t>
  </si>
  <si>
    <t xml:space="preserve">10-14 days</t>
  </si>
  <si>
    <t xml:space="preserve">3-4 weeks</t>
  </si>
  <si>
    <t xml:space="preserve">Free post-launch support window</t>
  </si>
  <si>
    <t xml:space="preserve">7 days</t>
  </si>
  <si>
    <t xml:space="preserve">30 days</t>
  </si>
  <si>
    <t xml:space="preserve">60 days</t>
  </si>
  <si>
    <t xml:space="preserve">Full source code ownership on final payment</t>
  </si>
  <si>
    <t xml:space="preserve">A&amp;A CREATIONS</t>
  </si>
  <si>
    <t xml:space="preserve">hello@aacreations.com   ·   aacreations.com</t>
  </si>
  <si>
    <t xml:space="preserve">QUOTE</t>
  </si>
  <si>
    <t xml:space="preserve">Quote #</t>
  </si>
  <si>
    <t xml:space="preserve">AA-Q-0001</t>
  </si>
  <si>
    <t xml:space="preserve">Date</t>
  </si>
  <si>
    <t xml:space="preserve">Valid Until</t>
  </si>
  <si>
    <t xml:space="preserve">PREPARED FOR</t>
  </si>
  <si>
    <t xml:space="preserve">Business Name</t>
  </si>
  <si>
    <t xml:space="preserve">Contact Person</t>
  </si>
  <si>
    <t xml:space="preserve">Email</t>
  </si>
  <si>
    <t xml:space="preserve">Phone</t>
  </si>
  <si>
    <t xml:space="preserve">Description</t>
  </si>
  <si>
    <t xml:space="preserve">Qty</t>
  </si>
  <si>
    <t xml:space="preserve">Unit Price</t>
  </si>
  <si>
    <t xml:space="preserve">Line Total</t>
  </si>
  <si>
    <t xml:space="preserve">Subtotal</t>
  </si>
  <si>
    <t xml:space="preserve">Discount %</t>
  </si>
  <si>
    <t xml:space="preserve">Discount Amount</t>
  </si>
  <si>
    <t xml:space="preserve">Tax %</t>
  </si>
  <si>
    <t xml:space="preserve">TOTAL DUE</t>
  </si>
  <si>
    <t xml:space="preserve">TERMS</t>
  </si>
  <si>
    <t xml:space="preserve">-  This quote is valid for 30 days from the date above.</t>
  </si>
  <si>
    <t xml:space="preserve">-  50% deposit due to begin work; remaining 50% due before final files/domain handover.</t>
  </si>
  <si>
    <t xml:space="preserve">-  Includes the number of revision rounds listed in your package. Extra rounds billed as shown on the Pricing sheet.</t>
  </si>
  <si>
    <t xml:space="preserve">-  Full source code and design ownership transfers to you upon final payment.</t>
  </si>
  <si>
    <t xml:space="preserve">-  Hosting/domain renewal costs (if not on a Care Plan) are billed separately at cost.</t>
  </si>
  <si>
    <t xml:space="preserve">Accepted by (signature): _____________________</t>
  </si>
  <si>
    <t xml:space="preserve">Date: _____________________</t>
  </si>
  <si>
    <t xml:space="preserve">INVOICE</t>
  </si>
  <si>
    <t xml:space="preserve">Invoice #</t>
  </si>
  <si>
    <t xml:space="preserve">AA-INV-0001</t>
  </si>
  <si>
    <t xml:space="preserve">Invoice Date</t>
  </si>
  <si>
    <t xml:space="preserve">Due Date</t>
  </si>
  <si>
    <t xml:space="preserve">Payment Status</t>
  </si>
  <si>
    <t xml:space="preserve">Unpaid</t>
  </si>
  <si>
    <t xml:space="preserve">BILL TO</t>
  </si>
  <si>
    <t xml:space="preserve">Total</t>
  </si>
  <si>
    <t xml:space="preserve">Amount Paid</t>
  </si>
  <si>
    <t xml:space="preserve">BALANCE DUE</t>
  </si>
  <si>
    <t xml:space="preserve">PAYMENT DETAILS</t>
  </si>
  <si>
    <t xml:space="preserve">Bank / Account Name</t>
  </si>
  <si>
    <t xml:space="preserve">Account Number</t>
  </si>
  <si>
    <t xml:space="preserve">IFSC / SWIFT</t>
  </si>
  <si>
    <t xml:space="preserve">UPI ID</t>
  </si>
  <si>
    <t xml:space="preserve">PayPal / Wise Email</t>
  </si>
  <si>
    <t xml:space="preserve">Thank you for your business! Full source files and domain handover follow confirmation of full payment.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</si>
</sst>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₹#,##0;&quot;(₹&quot;#,##0\);\-"/>
    <numFmt numFmtId="166" formatCode="0.0%"/>
    <numFmt numFmtId="167" formatCode="0.0"/>
    <numFmt numFmtId="168" formatCode="0.0\x"/>
    <numFmt numFmtId="169" formatCode="dd\-mmm\-yyyy"/>
    <numFmt numFmtId="170" formatCode="\₹#,##0.00;&quot;(₹&quot;#,##0.0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D9DCE8"/>
      <name val="Arial"/>
      <family val="0"/>
      <charset val="1"/>
    </font>
    <font>
      <b val="true"/>
      <sz val="10"/>
      <color rgb="FF14161F"/>
      <name val="Arial"/>
      <family val="0"/>
      <charset val="1"/>
    </font>
    <font>
      <sz val="10"/>
      <color rgb="FF1F222C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B616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A9E5C"/>
      <name val="Arial"/>
      <family val="0"/>
      <charset val="1"/>
    </font>
    <font>
      <b val="true"/>
      <sz val="20"/>
      <color rgb="FF2F5FFF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4161F"/>
        <bgColor rgb="FF1F222C"/>
      </patternFill>
    </fill>
    <fill>
      <patternFill patternType="solid">
        <fgColor rgb="FFECEEE9"/>
        <bgColor rgb="FFF5F6F3"/>
      </patternFill>
    </fill>
    <fill>
      <patternFill patternType="solid">
        <fgColor rgb="FFFFFFFF"/>
        <bgColor rgb="FFF5F6F3"/>
      </patternFill>
    </fill>
    <fill>
      <patternFill patternType="solid">
        <fgColor rgb="FF2F5FFF"/>
        <bgColor rgb="FF0066CC"/>
      </patternFill>
    </fill>
    <fill>
      <patternFill patternType="solid">
        <fgColor rgb="FFF5F6F3"/>
        <bgColor rgb="FFECEE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DED9"/>
      </left>
      <right style="thin">
        <color rgb="FFDCDED9"/>
      </right>
      <top style="thin">
        <color rgb="FFDCDED9"/>
      </top>
      <bottom style="thin">
        <color rgb="FFDCDE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6F3"/>
      <rgbColor rgb="FFECEEE9"/>
      <rgbColor rgb="FF660066"/>
      <rgbColor rgb="FFFF8080"/>
      <rgbColor rgb="FF0066CC"/>
      <rgbColor rgb="FFD9DC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DED9"/>
      <rgbColor rgb="FFFFFF99"/>
      <rgbColor rgb="FF99CCFF"/>
      <rgbColor rgb="FFFF99CC"/>
      <rgbColor rgb="FFCC99FF"/>
      <rgbColor rgb="FFFFCC99"/>
      <rgbColor rgb="FF2F5FFF"/>
      <rgbColor rgb="FF33CCCC"/>
      <rgbColor rgb="FF99CC00"/>
      <rgbColor rgb="FFFFCC00"/>
      <rgbColor rgb="FFFF9900"/>
      <rgbColor rgb="FFFF6600"/>
      <rgbColor rgb="FF5B616E"/>
      <rgbColor rgb="FF969696"/>
      <rgbColor rgb="FF003366"/>
      <rgbColor rgb="FF1A9E5C"/>
      <rgbColor rgb="FF14161F"/>
      <rgbColor rgb="FF333300"/>
      <rgbColor rgb="FF993300"/>
      <rgbColor rgb="FF993366"/>
      <rgbColor rgb="FF333399"/>
      <rgbColor rgb="FF1F22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14"/>
    <col collapsed="false" customWidth="true" hidden="false" outlineLevel="0" max="5" min="4" style="1" width="13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9" min="8" style="1" width="16"/>
    <col collapsed="false" customWidth="true" hidden="false" outlineLevel="0" max="11" min="10" style="0" width="14"/>
    <col collapsed="false" customWidth="true" hidden="false" outlineLevel="0" max="12" min="12" style="0" width="13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4" t="s">
        <v>2</v>
      </c>
      <c r="B4" s="4"/>
    </row>
    <row r="5" customFormat="false" ht="15" hidden="false" customHeight="true" outlineLevel="0" collapsed="false">
      <c r="A5" s="5" t="s">
        <v>3</v>
      </c>
      <c r="B5" s="6" t="n">
        <v>300</v>
      </c>
    </row>
    <row r="6" customFormat="false" ht="15" hidden="false" customHeight="true" outlineLevel="0" collapsed="false">
      <c r="A6" s="5" t="s">
        <v>4</v>
      </c>
      <c r="B6" s="7" t="n">
        <v>0.45</v>
      </c>
    </row>
    <row r="7" customFormat="false" ht="15" hidden="false" customHeight="true" outlineLevel="0" collapsed="false">
      <c r="A7" s="8" t="s">
        <v>5</v>
      </c>
      <c r="B7" s="8"/>
      <c r="C7" s="8"/>
      <c r="D7" s="8"/>
      <c r="E7" s="8"/>
      <c r="F7" s="8"/>
      <c r="G7" s="8"/>
      <c r="H7" s="8"/>
      <c r="I7" s="8"/>
    </row>
    <row r="9" customFormat="false" ht="30" hidden="false" customHeight="true" outlineLevel="0" collapsed="false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  <c r="F9" s="9" t="s">
        <v>11</v>
      </c>
      <c r="G9" s="9" t="s">
        <v>12</v>
      </c>
      <c r="H9" s="9" t="s">
        <v>13</v>
      </c>
      <c r="I9" s="9" t="s">
        <v>14</v>
      </c>
      <c r="J9" s="9" t="s">
        <v>15</v>
      </c>
      <c r="K9" s="9" t="s">
        <v>16</v>
      </c>
      <c r="L9" s="9" t="s">
        <v>17</v>
      </c>
    </row>
    <row r="10" customFormat="false" ht="39.75" hidden="false" customHeight="true" outlineLevel="0" collapsed="false">
      <c r="A10" s="10" t="s">
        <v>18</v>
      </c>
      <c r="B10" s="11" t="s">
        <v>19</v>
      </c>
      <c r="C10" s="12" t="n">
        <v>6</v>
      </c>
      <c r="D10" s="13" t="n">
        <v>7999</v>
      </c>
      <c r="E10" s="14" t="n">
        <f aca="false">C10*$B$5</f>
        <v>1800</v>
      </c>
      <c r="F10" s="14" t="n">
        <f aca="false">D10-E10</f>
        <v>6199</v>
      </c>
      <c r="G10" s="15" t="n">
        <f aca="false">IF(D10=0,"-",F10/D10)</f>
        <v>0.774971871483936</v>
      </c>
      <c r="H10" s="14" t="n">
        <f aca="false">E10/(1-$B$6)</f>
        <v>3272.72727272727</v>
      </c>
      <c r="I10" s="15" t="n">
        <f aca="false">IF(D10=0,"-",1-H10/D10)</f>
        <v>0.59085794815261</v>
      </c>
      <c r="J10" s="16" t="n">
        <f aca="false">D10/$B$5</f>
        <v>26.6633333333333</v>
      </c>
      <c r="K10" s="17" t="n">
        <f aca="false">J10/C10</f>
        <v>4.44388888888889</v>
      </c>
      <c r="L10" s="18" t="str">
        <f aca="false">IF(K10&gt;=3,"Safe",IF(K10&gt;=2,"OK","Review pricing"))</f>
        <v>Safe</v>
      </c>
    </row>
    <row r="11" customFormat="false" ht="39.75" hidden="false" customHeight="true" outlineLevel="0" collapsed="false">
      <c r="A11" s="10" t="s">
        <v>20</v>
      </c>
      <c r="B11" s="11" t="s">
        <v>21</v>
      </c>
      <c r="C11" s="12" t="n">
        <v>14</v>
      </c>
      <c r="D11" s="13" t="n">
        <v>19999</v>
      </c>
      <c r="E11" s="14" t="n">
        <f aca="false">C11*$B$5</f>
        <v>4200</v>
      </c>
      <c r="F11" s="14" t="n">
        <f aca="false">D11-E11</f>
        <v>15799</v>
      </c>
      <c r="G11" s="15" t="n">
        <f aca="false">IF(D11=0,"-",F11/D11)</f>
        <v>0.789989499474974</v>
      </c>
      <c r="H11" s="14" t="n">
        <f aca="false">E11/(1-$B$6)</f>
        <v>7636.36363636364</v>
      </c>
      <c r="I11" s="15" t="n">
        <f aca="false">IF(D11=0,"-",1-H11/D11)</f>
        <v>0.618162726318134</v>
      </c>
      <c r="J11" s="16" t="n">
        <f aca="false">D11/$B$5</f>
        <v>66.6633333333333</v>
      </c>
      <c r="K11" s="17" t="n">
        <f aca="false">J11/C11</f>
        <v>4.76166666666667</v>
      </c>
      <c r="L11" s="18" t="str">
        <f aca="false">IF(K11&gt;=3,"Safe",IF(K11&gt;=2,"OK","Review pricing"))</f>
        <v>Safe</v>
      </c>
    </row>
    <row r="12" customFormat="false" ht="39.75" hidden="false" customHeight="true" outlineLevel="0" collapsed="false">
      <c r="A12" s="10" t="s">
        <v>22</v>
      </c>
      <c r="B12" s="11" t="s">
        <v>23</v>
      </c>
      <c r="C12" s="12" t="n">
        <v>30</v>
      </c>
      <c r="D12" s="13" t="n">
        <v>34999</v>
      </c>
      <c r="E12" s="14" t="n">
        <f aca="false">C12*$B$5</f>
        <v>9000</v>
      </c>
      <c r="F12" s="14" t="n">
        <f aca="false">D12-E12</f>
        <v>25999</v>
      </c>
      <c r="G12" s="15" t="n">
        <f aca="false">IF(D12=0,"-",F12/D12)</f>
        <v>0.742849795708449</v>
      </c>
      <c r="H12" s="14" t="n">
        <f aca="false">E12/(1-$B$6)</f>
        <v>16363.6363636364</v>
      </c>
      <c r="I12" s="15" t="n">
        <f aca="false">IF(D12=0,"-",1-H12/D12)</f>
        <v>0.532454174015362</v>
      </c>
      <c r="J12" s="16" t="n">
        <f aca="false">D12/$B$5</f>
        <v>116.663333333333</v>
      </c>
      <c r="K12" s="17" t="n">
        <f aca="false">J12/C12</f>
        <v>3.88877777777778</v>
      </c>
      <c r="L12" s="18" t="str">
        <f aca="false">IF(K12&gt;=3,"Safe",IF(K12&gt;=2,"OK","Review pricing"))</f>
        <v>Safe</v>
      </c>
    </row>
    <row r="14" customFormat="false" ht="19.5" hidden="false" customHeight="true" outlineLevel="0" collapsed="false">
      <c r="A14" s="4" t="s">
        <v>24</v>
      </c>
      <c r="B14" s="4"/>
      <c r="C14" s="4"/>
      <c r="D14" s="4"/>
      <c r="E14" s="4"/>
      <c r="F14" s="4"/>
      <c r="G14" s="4"/>
      <c r="H14" s="4"/>
      <c r="I14" s="4"/>
    </row>
    <row r="15" customFormat="false" ht="30" hidden="false" customHeight="true" outlineLevel="0" collapsed="false">
      <c r="A15" s="9" t="s">
        <v>6</v>
      </c>
      <c r="B15" s="9" t="s">
        <v>7</v>
      </c>
      <c r="C15" s="9" t="s">
        <v>8</v>
      </c>
      <c r="D15" s="9" t="s">
        <v>9</v>
      </c>
      <c r="E15" s="9" t="s">
        <v>10</v>
      </c>
      <c r="F15" s="9" t="s">
        <v>11</v>
      </c>
      <c r="G15" s="9" t="s">
        <v>12</v>
      </c>
      <c r="H15" s="9" t="s">
        <v>13</v>
      </c>
      <c r="I15" s="9" t="s">
        <v>14</v>
      </c>
      <c r="J15" s="9" t="s">
        <v>15</v>
      </c>
      <c r="K15" s="9" t="s">
        <v>16</v>
      </c>
      <c r="L15" s="9" t="s">
        <v>17</v>
      </c>
    </row>
    <row r="16" customFormat="false" ht="31.5" hidden="false" customHeight="true" outlineLevel="0" collapsed="false">
      <c r="A16" s="10" t="s">
        <v>25</v>
      </c>
      <c r="B16" s="11" t="s">
        <v>26</v>
      </c>
      <c r="C16" s="12" t="n">
        <v>2</v>
      </c>
      <c r="D16" s="13" t="n">
        <v>1999</v>
      </c>
      <c r="E16" s="14" t="n">
        <f aca="false">C16*$B$5</f>
        <v>600</v>
      </c>
      <c r="F16" s="14" t="n">
        <f aca="false">D16-E16</f>
        <v>1399</v>
      </c>
      <c r="G16" s="15" t="n">
        <f aca="false">IF(D16=0,"-",F16/D16)</f>
        <v>0.699849924962481</v>
      </c>
      <c r="H16" s="14" t="n">
        <f aca="false">E16/(1-$B$6)</f>
        <v>1090.90909090909</v>
      </c>
      <c r="I16" s="15" t="n">
        <f aca="false">IF(D16=0,"-",1-H16/D16)</f>
        <v>0.454272590840875</v>
      </c>
      <c r="J16" s="16" t="n">
        <f aca="false">D16/$B$5</f>
        <v>6.66333333333333</v>
      </c>
      <c r="K16" s="17" t="n">
        <f aca="false">J16/C16</f>
        <v>3.33166666666667</v>
      </c>
      <c r="L16" s="18" t="str">
        <f aca="false">IF(K16&gt;=3,"Safe",IF(K16&gt;=2,"OK","Review pricing"))</f>
        <v>Safe</v>
      </c>
    </row>
    <row r="17" customFormat="false" ht="31.5" hidden="false" customHeight="true" outlineLevel="0" collapsed="false">
      <c r="A17" s="10" t="s">
        <v>27</v>
      </c>
      <c r="B17" s="11" t="s">
        <v>28</v>
      </c>
      <c r="C17" s="12" t="n">
        <v>1.5</v>
      </c>
      <c r="D17" s="13" t="n">
        <v>1999</v>
      </c>
      <c r="E17" s="14" t="n">
        <f aca="false">C17*$B$5</f>
        <v>450</v>
      </c>
      <c r="F17" s="14" t="n">
        <f aca="false">D17-E17</f>
        <v>1549</v>
      </c>
      <c r="G17" s="15" t="n">
        <f aca="false">IF(D17=0,"-",F17/D17)</f>
        <v>0.774887443721861</v>
      </c>
      <c r="H17" s="14" t="n">
        <f aca="false">E17/(1-$B$6)</f>
        <v>818.181818181818</v>
      </c>
      <c r="I17" s="15" t="n">
        <f aca="false">IF(D17=0,"-",1-H17/D17)</f>
        <v>0.590704443130656</v>
      </c>
      <c r="J17" s="16" t="n">
        <f aca="false">D17/$B$5</f>
        <v>6.66333333333333</v>
      </c>
      <c r="K17" s="17" t="n">
        <f aca="false">J17/C17</f>
        <v>4.44222222222222</v>
      </c>
      <c r="L17" s="18" t="str">
        <f aca="false">IF(K17&gt;=3,"Safe",IF(K17&gt;=2,"OK","Review pricing"))</f>
        <v>Safe</v>
      </c>
    </row>
    <row r="18" customFormat="false" ht="31.5" hidden="false" customHeight="true" outlineLevel="0" collapsed="false">
      <c r="A18" s="10" t="s">
        <v>29</v>
      </c>
      <c r="B18" s="11" t="s">
        <v>30</v>
      </c>
      <c r="C18" s="12" t="n">
        <v>1</v>
      </c>
      <c r="D18" s="13" t="n">
        <v>1499</v>
      </c>
      <c r="E18" s="14" t="n">
        <f aca="false">C18*$B$5</f>
        <v>300</v>
      </c>
      <c r="F18" s="14" t="n">
        <f aca="false">D18-E18</f>
        <v>1199</v>
      </c>
      <c r="G18" s="15" t="n">
        <f aca="false">IF(D18=0,"-",F18/D18)</f>
        <v>0.799866577718479</v>
      </c>
      <c r="H18" s="14" t="n">
        <f aca="false">E18/(1-$B$6)</f>
        <v>545.454545454545</v>
      </c>
      <c r="I18" s="15" t="n">
        <f aca="false">IF(D18=0,"-",1-H18/D18)</f>
        <v>0.636121050397235</v>
      </c>
      <c r="J18" s="16" t="n">
        <f aca="false">D18/$B$5</f>
        <v>4.99666666666667</v>
      </c>
      <c r="K18" s="17" t="n">
        <f aca="false">J18/C18</f>
        <v>4.99666666666667</v>
      </c>
      <c r="L18" s="18" t="str">
        <f aca="false">IF(K18&gt;=3,"Safe",IF(K18&gt;=2,"OK","Review pricing"))</f>
        <v>Safe</v>
      </c>
    </row>
    <row r="19" customFormat="false" ht="31.5" hidden="false" customHeight="true" outlineLevel="0" collapsed="false">
      <c r="A19" s="10" t="s">
        <v>31</v>
      </c>
      <c r="B19" s="11" t="s">
        <v>32</v>
      </c>
      <c r="C19" s="12" t="n">
        <v>4</v>
      </c>
      <c r="D19" s="13" t="n">
        <v>3999</v>
      </c>
      <c r="E19" s="14" t="n">
        <f aca="false">C19*$B$5</f>
        <v>1200</v>
      </c>
      <c r="F19" s="14" t="n">
        <f aca="false">D19-E19</f>
        <v>2799</v>
      </c>
      <c r="G19" s="15" t="n">
        <f aca="false">IF(D19=0,"-",F19/D19)</f>
        <v>0.699924981245311</v>
      </c>
      <c r="H19" s="14" t="n">
        <f aca="false">E19/(1-$B$6)</f>
        <v>2181.81818181818</v>
      </c>
      <c r="I19" s="15" t="n">
        <f aca="false">IF(D19=0,"-",1-H19/D19)</f>
        <v>0.454409056809657</v>
      </c>
      <c r="J19" s="16" t="n">
        <f aca="false">D19/$B$5</f>
        <v>13.33</v>
      </c>
      <c r="K19" s="17" t="n">
        <f aca="false">J19/C19</f>
        <v>3.3325</v>
      </c>
      <c r="L19" s="18" t="str">
        <f aca="false">IF(K19&gt;=3,"Safe",IF(K19&gt;=2,"OK","Review pricing"))</f>
        <v>Safe</v>
      </c>
    </row>
    <row r="20" customFormat="false" ht="31.5" hidden="false" customHeight="true" outlineLevel="0" collapsed="false">
      <c r="A20" s="10" t="s">
        <v>33</v>
      </c>
      <c r="B20" s="11" t="s">
        <v>34</v>
      </c>
      <c r="C20" s="12" t="n">
        <v>1</v>
      </c>
      <c r="D20" s="13" t="n">
        <v>1499</v>
      </c>
      <c r="E20" s="14" t="n">
        <f aca="false">C20*$B$5</f>
        <v>300</v>
      </c>
      <c r="F20" s="14" t="n">
        <f aca="false">D20-E20</f>
        <v>1199</v>
      </c>
      <c r="G20" s="15" t="n">
        <f aca="false">IF(D20=0,"-",F20/D20)</f>
        <v>0.799866577718479</v>
      </c>
      <c r="H20" s="14" t="n">
        <f aca="false">E20/(1-$B$6)</f>
        <v>545.454545454545</v>
      </c>
      <c r="I20" s="15" t="n">
        <f aca="false">IF(D20=0,"-",1-H20/D20)</f>
        <v>0.636121050397235</v>
      </c>
      <c r="J20" s="16" t="n">
        <f aca="false">D20/$B$5</f>
        <v>4.99666666666667</v>
      </c>
      <c r="K20" s="17" t="n">
        <f aca="false">J20/C20</f>
        <v>4.99666666666667</v>
      </c>
      <c r="L20" s="18" t="str">
        <f aca="false">IF(K20&gt;=3,"Safe",IF(K20&gt;=2,"OK","Review pricing"))</f>
        <v>Safe</v>
      </c>
    </row>
    <row r="21" customFormat="false" ht="31.5" hidden="false" customHeight="true" outlineLevel="0" collapsed="false">
      <c r="A21" s="10" t="s">
        <v>35</v>
      </c>
      <c r="B21" s="11" t="s">
        <v>36</v>
      </c>
      <c r="C21" s="12" t="n">
        <v>3</v>
      </c>
      <c r="D21" s="13" t="n">
        <v>4999</v>
      </c>
      <c r="E21" s="14" t="n">
        <f aca="false">C21*$B$5</f>
        <v>900</v>
      </c>
      <c r="F21" s="14" t="n">
        <f aca="false">D21-E21</f>
        <v>4099</v>
      </c>
      <c r="G21" s="15" t="n">
        <f aca="false">IF(D21=0,"-",F21/D21)</f>
        <v>0.81996399279856</v>
      </c>
      <c r="H21" s="14" t="n">
        <f aca="false">E21/(1-$B$6)</f>
        <v>1636.36363636364</v>
      </c>
      <c r="I21" s="15" t="n">
        <f aca="false">IF(D21=0,"-",1-H21/D21)</f>
        <v>0.67266180508829</v>
      </c>
      <c r="J21" s="16" t="n">
        <f aca="false">D21/$B$5</f>
        <v>16.6633333333333</v>
      </c>
      <c r="K21" s="17" t="n">
        <f aca="false">J21/C21</f>
        <v>5.55444444444445</v>
      </c>
      <c r="L21" s="18" t="str">
        <f aca="false">IF(K21&gt;=3,"Safe",IF(K21&gt;=2,"OK","Review pricing"))</f>
        <v>Safe</v>
      </c>
    </row>
    <row r="22" customFormat="false" ht="31.5" hidden="false" customHeight="true" outlineLevel="0" collapsed="false">
      <c r="A22" s="10" t="s">
        <v>37</v>
      </c>
      <c r="B22" s="11" t="s">
        <v>38</v>
      </c>
      <c r="C22" s="12" t="n">
        <v>3</v>
      </c>
      <c r="D22" s="13" t="n">
        <v>2999</v>
      </c>
      <c r="E22" s="14" t="n">
        <f aca="false">C22*$B$5</f>
        <v>900</v>
      </c>
      <c r="F22" s="14" t="n">
        <f aca="false">D22-E22</f>
        <v>2099</v>
      </c>
      <c r="G22" s="15" t="n">
        <f aca="false">IF(D22=0,"-",F22/D22)</f>
        <v>0.699899966655552</v>
      </c>
      <c r="H22" s="14" t="n">
        <f aca="false">E22/(1-$B$6)</f>
        <v>1636.36363636364</v>
      </c>
      <c r="I22" s="15" t="n">
        <f aca="false">IF(D22=0,"-",1-H22/D22)</f>
        <v>0.454363575737367</v>
      </c>
      <c r="J22" s="16" t="n">
        <f aca="false">D22/$B$5</f>
        <v>9.99666666666667</v>
      </c>
      <c r="K22" s="17" t="n">
        <f aca="false">J22/C22</f>
        <v>3.33222222222222</v>
      </c>
      <c r="L22" s="18" t="str">
        <f aca="false">IF(K22&gt;=3,"Safe",IF(K22&gt;=2,"OK","Review pricing"))</f>
        <v>Safe</v>
      </c>
    </row>
    <row r="23" customFormat="false" ht="31.5" hidden="false" customHeight="true" outlineLevel="0" collapsed="false">
      <c r="A23" s="10" t="s">
        <v>39</v>
      </c>
      <c r="B23" s="11" t="s">
        <v>40</v>
      </c>
      <c r="C23" s="12" t="n">
        <v>2</v>
      </c>
      <c r="D23" s="13" t="n">
        <v>1999</v>
      </c>
      <c r="E23" s="14" t="n">
        <f aca="false">C23*$B$5</f>
        <v>600</v>
      </c>
      <c r="F23" s="14" t="n">
        <f aca="false">D23-E23</f>
        <v>1399</v>
      </c>
      <c r="G23" s="15" t="n">
        <f aca="false">IF(D23=0,"-",F23/D23)</f>
        <v>0.699849924962481</v>
      </c>
      <c r="H23" s="14" t="n">
        <f aca="false">E23/(1-$B$6)</f>
        <v>1090.90909090909</v>
      </c>
      <c r="I23" s="15" t="n">
        <f aca="false">IF(D23=0,"-",1-H23/D23)</f>
        <v>0.454272590840875</v>
      </c>
      <c r="J23" s="16" t="n">
        <f aca="false">D23/$B$5</f>
        <v>6.66333333333333</v>
      </c>
      <c r="K23" s="17" t="n">
        <f aca="false">J23/C23</f>
        <v>3.33166666666667</v>
      </c>
      <c r="L23" s="18" t="str">
        <f aca="false">IF(K23&gt;=3,"Safe",IF(K23&gt;=2,"OK","Review pricing"))</f>
        <v>Safe</v>
      </c>
    </row>
    <row r="24" customFormat="false" ht="31.5" hidden="false" customHeight="true" outlineLevel="0" collapsed="false">
      <c r="A24" s="10" t="s">
        <v>41</v>
      </c>
      <c r="B24" s="11" t="s">
        <v>42</v>
      </c>
      <c r="C24" s="12" t="n">
        <v>4</v>
      </c>
      <c r="D24" s="13" t="n">
        <v>3999</v>
      </c>
      <c r="E24" s="14" t="n">
        <f aca="false">C24*$B$5</f>
        <v>1200</v>
      </c>
      <c r="F24" s="14" t="n">
        <f aca="false">D24-E24</f>
        <v>2799</v>
      </c>
      <c r="G24" s="15" t="n">
        <f aca="false">IF(D24=0,"-",F24/D24)</f>
        <v>0.699924981245311</v>
      </c>
      <c r="H24" s="14" t="n">
        <f aca="false">E24/(1-$B$6)</f>
        <v>2181.81818181818</v>
      </c>
      <c r="I24" s="15" t="n">
        <f aca="false">IF(D24=0,"-",1-H24/D24)</f>
        <v>0.454409056809657</v>
      </c>
      <c r="J24" s="16" t="n">
        <f aca="false">D24/$B$5</f>
        <v>13.33</v>
      </c>
      <c r="K24" s="17" t="n">
        <f aca="false">J24/C24</f>
        <v>3.3325</v>
      </c>
      <c r="L24" s="18" t="str">
        <f aca="false">IF(K24&gt;=3,"Safe",IF(K24&gt;=2,"OK","Review pricing"))</f>
        <v>Safe</v>
      </c>
    </row>
    <row r="25" customFormat="false" ht="31.5" hidden="false" customHeight="true" outlineLevel="0" collapsed="false">
      <c r="A25" s="10" t="s">
        <v>43</v>
      </c>
      <c r="B25" s="11" t="s">
        <v>44</v>
      </c>
      <c r="C25" s="12" t="n">
        <v>5</v>
      </c>
      <c r="D25" s="13" t="n">
        <v>4999</v>
      </c>
      <c r="E25" s="14" t="n">
        <f aca="false">C25*$B$5</f>
        <v>1500</v>
      </c>
      <c r="F25" s="14" t="n">
        <f aca="false">D25-E25</f>
        <v>3499</v>
      </c>
      <c r="G25" s="15" t="n">
        <f aca="false">IF(D25=0,"-",F25/D25)</f>
        <v>0.6999399879976</v>
      </c>
      <c r="H25" s="14" t="n">
        <f aca="false">E25/(1-$B$6)</f>
        <v>2727.27272727273</v>
      </c>
      <c r="I25" s="15" t="n">
        <f aca="false">IF(D25=0,"-",1-H25/D25)</f>
        <v>0.454436341813817</v>
      </c>
      <c r="J25" s="16" t="n">
        <f aca="false">D25/$B$5</f>
        <v>16.6633333333333</v>
      </c>
      <c r="K25" s="17" t="n">
        <f aca="false">J25/C25</f>
        <v>3.33266666666667</v>
      </c>
      <c r="L25" s="18" t="str">
        <f aca="false">IF(K25&gt;=3,"Safe",IF(K25&gt;=2,"OK","Review pricing"))</f>
        <v>Safe</v>
      </c>
    </row>
    <row r="26" customFormat="false" ht="31.5" hidden="false" customHeight="true" outlineLevel="0" collapsed="false">
      <c r="A26" s="10" t="s">
        <v>45</v>
      </c>
      <c r="B26" s="11" t="s">
        <v>46</v>
      </c>
      <c r="C26" s="12" t="n">
        <v>8</v>
      </c>
      <c r="D26" s="13" t="n">
        <v>7999</v>
      </c>
      <c r="E26" s="14" t="n">
        <f aca="false">C26*$B$5</f>
        <v>2400</v>
      </c>
      <c r="F26" s="14" t="n">
        <f aca="false">D26-E26</f>
        <v>5599</v>
      </c>
      <c r="G26" s="15" t="n">
        <f aca="false">IF(D26=0,"-",F26/D26)</f>
        <v>0.699962495311914</v>
      </c>
      <c r="H26" s="14" t="n">
        <f aca="false">E26/(1-$B$6)</f>
        <v>4363.63636363636</v>
      </c>
      <c r="I26" s="15" t="n">
        <f aca="false">IF(D26=0,"-",1-H26/D26)</f>
        <v>0.45447726420348</v>
      </c>
      <c r="J26" s="16" t="n">
        <f aca="false">D26/$B$5</f>
        <v>26.6633333333333</v>
      </c>
      <c r="K26" s="17" t="n">
        <f aca="false">J26/C26</f>
        <v>3.33291666666667</v>
      </c>
      <c r="L26" s="18" t="str">
        <f aca="false">IF(K26&gt;=3,"Safe",IF(K26&gt;=2,"OK","Review pricing"))</f>
        <v>Safe</v>
      </c>
    </row>
    <row r="27" customFormat="false" ht="31.5" hidden="false" customHeight="true" outlineLevel="0" collapsed="false">
      <c r="A27" s="10" t="s">
        <v>47</v>
      </c>
      <c r="B27" s="11" t="s">
        <v>48</v>
      </c>
      <c r="C27" s="12" t="n">
        <v>4</v>
      </c>
      <c r="D27" s="13" t="n">
        <v>3999</v>
      </c>
      <c r="E27" s="14" t="n">
        <f aca="false">C27*$B$5</f>
        <v>1200</v>
      </c>
      <c r="F27" s="14" t="n">
        <f aca="false">D27-E27</f>
        <v>2799</v>
      </c>
      <c r="G27" s="15" t="n">
        <f aca="false">IF(D27=0,"-",F27/D27)</f>
        <v>0.699924981245311</v>
      </c>
      <c r="H27" s="14" t="n">
        <f aca="false">E27/(1-$B$6)</f>
        <v>2181.81818181818</v>
      </c>
      <c r="I27" s="15" t="n">
        <f aca="false">IF(D27=0,"-",1-H27/D27)</f>
        <v>0.454409056809657</v>
      </c>
      <c r="J27" s="16" t="n">
        <f aca="false">D27/$B$5</f>
        <v>13.33</v>
      </c>
      <c r="K27" s="17" t="n">
        <f aca="false">J27/C27</f>
        <v>3.3325</v>
      </c>
      <c r="L27" s="18" t="str">
        <f aca="false">IF(K27&gt;=3,"Safe",IF(K27&gt;=2,"OK","Review pricing"))</f>
        <v>Safe</v>
      </c>
    </row>
    <row r="28" customFormat="false" ht="31.5" hidden="false" customHeight="true" outlineLevel="0" collapsed="false">
      <c r="A28" s="10" t="s">
        <v>49</v>
      </c>
      <c r="B28" s="11" t="s">
        <v>50</v>
      </c>
      <c r="C28" s="12" t="n">
        <v>1</v>
      </c>
      <c r="D28" s="13" t="n">
        <v>799</v>
      </c>
      <c r="E28" s="14" t="n">
        <f aca="false">C28*$B$5</f>
        <v>300</v>
      </c>
      <c r="F28" s="14" t="n">
        <f aca="false">D28-E28</f>
        <v>499</v>
      </c>
      <c r="G28" s="15" t="n">
        <f aca="false">IF(D28=0,"-",F28/D28)</f>
        <v>0.624530663329161</v>
      </c>
      <c r="H28" s="14" t="n">
        <f aca="false">E28/(1-$B$6)</f>
        <v>545.454545454545</v>
      </c>
      <c r="I28" s="15" t="n">
        <f aca="false">IF(D28=0,"-",1-H28/D28)</f>
        <v>0.317328478780294</v>
      </c>
      <c r="J28" s="16" t="n">
        <f aca="false">D28/$B$5</f>
        <v>2.66333333333333</v>
      </c>
      <c r="K28" s="17" t="n">
        <f aca="false">J28/C28</f>
        <v>2.66333333333333</v>
      </c>
      <c r="L28" s="18" t="str">
        <f aca="false">IF(K28&gt;=3,"Safe",IF(K28&gt;=2,"OK","Review pricing"))</f>
        <v>OK</v>
      </c>
    </row>
    <row r="29" customFormat="false" ht="31.5" hidden="false" customHeight="true" outlineLevel="0" collapsed="false">
      <c r="A29" s="10" t="s">
        <v>51</v>
      </c>
      <c r="B29" s="11" t="s">
        <v>52</v>
      </c>
      <c r="C29" s="12" t="n">
        <v>3</v>
      </c>
      <c r="D29" s="13" t="n">
        <v>2499</v>
      </c>
      <c r="E29" s="14" t="n">
        <f aca="false">C29*$B$5</f>
        <v>900</v>
      </c>
      <c r="F29" s="14" t="n">
        <f aca="false">D29-E29</f>
        <v>1599</v>
      </c>
      <c r="G29" s="15" t="n">
        <f aca="false">IF(D29=0,"-",F29/D29)</f>
        <v>0.639855942376951</v>
      </c>
      <c r="H29" s="14" t="n">
        <f aca="false">E29/(1-$B$6)</f>
        <v>1636.36363636364</v>
      </c>
      <c r="I29" s="15" t="n">
        <f aca="false">IF(D29=0,"-",1-H29/D29)</f>
        <v>0.345192622503547</v>
      </c>
      <c r="J29" s="16" t="n">
        <f aca="false">D29/$B$5</f>
        <v>8.33</v>
      </c>
      <c r="K29" s="17" t="n">
        <f aca="false">J29/C29</f>
        <v>2.77666666666667</v>
      </c>
      <c r="L29" s="18" t="str">
        <f aca="false">IF(K29&gt;=3,"Safe",IF(K29&gt;=2,"OK","Review pricing"))</f>
        <v>OK</v>
      </c>
    </row>
    <row r="31" customFormat="false" ht="27.75" hidden="false" customHeight="true" outlineLevel="0" collapsed="false">
      <c r="A31" s="8" t="s">
        <v>53</v>
      </c>
      <c r="B31" s="8"/>
      <c r="C31" s="8"/>
      <c r="D31" s="8"/>
      <c r="E31" s="8"/>
      <c r="F31" s="8"/>
      <c r="G31" s="8"/>
      <c r="H31" s="8"/>
      <c r="I31" s="8"/>
    </row>
    <row r="32" customFormat="false" ht="27.75" hidden="false" customHeight="true" outlineLevel="0" collapsed="false">
      <c r="A32" s="19" t="s">
        <v>54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</row>
  </sheetData>
  <mergeCells count="7">
    <mergeCell ref="A1:I1"/>
    <mergeCell ref="A2:I2"/>
    <mergeCell ref="A4:B4"/>
    <mergeCell ref="A7:I7"/>
    <mergeCell ref="A14:I14"/>
    <mergeCell ref="A31:I31"/>
    <mergeCell ref="A32:L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20"/>
  </cols>
  <sheetData>
    <row r="1" customFormat="false" ht="25.5" hidden="false" customHeight="true" outlineLevel="0" collapsed="false">
      <c r="A1" s="2" t="s">
        <v>55</v>
      </c>
      <c r="B1" s="2"/>
      <c r="C1" s="2"/>
      <c r="D1" s="2"/>
    </row>
    <row r="2" customFormat="false" ht="19.5" hidden="false" customHeight="true" outlineLevel="0" collapsed="false">
      <c r="A2" s="3" t="s">
        <v>56</v>
      </c>
      <c r="B2" s="3"/>
      <c r="C2" s="3"/>
      <c r="D2" s="3"/>
    </row>
    <row r="4" customFormat="false" ht="25.5" hidden="false" customHeight="true" outlineLevel="0" collapsed="false">
      <c r="A4" s="9" t="s">
        <v>57</v>
      </c>
      <c r="B4" s="9" t="s">
        <v>58</v>
      </c>
      <c r="C4" s="9" t="s">
        <v>59</v>
      </c>
      <c r="D4" s="9" t="s">
        <v>60</v>
      </c>
    </row>
    <row r="5" customFormat="false" ht="21.75" hidden="false" customHeight="true" outlineLevel="0" collapsed="false">
      <c r="A5" s="20" t="s">
        <v>61</v>
      </c>
      <c r="B5" s="21" t="s">
        <v>62</v>
      </c>
      <c r="C5" s="21" t="s">
        <v>63</v>
      </c>
      <c r="D5" s="21" t="s">
        <v>64</v>
      </c>
    </row>
    <row r="6" customFormat="false" ht="21.75" hidden="false" customHeight="true" outlineLevel="0" collapsed="false">
      <c r="A6" s="22" t="s">
        <v>65</v>
      </c>
      <c r="B6" s="23" t="s">
        <v>66</v>
      </c>
      <c r="C6" s="23" t="s">
        <v>66</v>
      </c>
      <c r="D6" s="23" t="s">
        <v>66</v>
      </c>
    </row>
    <row r="7" customFormat="false" ht="21.75" hidden="false" customHeight="true" outlineLevel="0" collapsed="false">
      <c r="A7" s="20" t="s">
        <v>67</v>
      </c>
      <c r="B7" s="21" t="s">
        <v>66</v>
      </c>
      <c r="C7" s="21" t="s">
        <v>66</v>
      </c>
      <c r="D7" s="21" t="s">
        <v>66</v>
      </c>
    </row>
    <row r="8" customFormat="false" ht="21.75" hidden="false" customHeight="true" outlineLevel="0" collapsed="false">
      <c r="A8" s="22" t="s">
        <v>68</v>
      </c>
      <c r="B8" s="23" t="s">
        <v>66</v>
      </c>
      <c r="C8" s="23" t="s">
        <v>66</v>
      </c>
      <c r="D8" s="23" t="s">
        <v>66</v>
      </c>
    </row>
    <row r="9" customFormat="false" ht="21.75" hidden="false" customHeight="true" outlineLevel="0" collapsed="false">
      <c r="A9" s="20" t="s">
        <v>69</v>
      </c>
      <c r="B9" s="21" t="s">
        <v>70</v>
      </c>
      <c r="C9" s="21" t="s">
        <v>66</v>
      </c>
      <c r="D9" s="21" t="s">
        <v>66</v>
      </c>
    </row>
    <row r="10" customFormat="false" ht="21.75" hidden="false" customHeight="true" outlineLevel="0" collapsed="false">
      <c r="A10" s="22" t="s">
        <v>71</v>
      </c>
      <c r="B10" s="23" t="s">
        <v>70</v>
      </c>
      <c r="C10" s="23" t="s">
        <v>66</v>
      </c>
      <c r="D10" s="23" t="s">
        <v>66</v>
      </c>
    </row>
    <row r="11" customFormat="false" ht="21.75" hidden="false" customHeight="true" outlineLevel="0" collapsed="false">
      <c r="A11" s="20" t="s">
        <v>72</v>
      </c>
      <c r="B11" s="21" t="s">
        <v>70</v>
      </c>
      <c r="C11" s="21" t="s">
        <v>66</v>
      </c>
      <c r="D11" s="21" t="s">
        <v>66</v>
      </c>
    </row>
    <row r="12" customFormat="false" ht="21.75" hidden="false" customHeight="true" outlineLevel="0" collapsed="false">
      <c r="A12" s="22" t="s">
        <v>73</v>
      </c>
      <c r="B12" s="23" t="s">
        <v>70</v>
      </c>
      <c r="C12" s="23" t="s">
        <v>66</v>
      </c>
      <c r="D12" s="23" t="s">
        <v>66</v>
      </c>
    </row>
    <row r="13" customFormat="false" ht="21.75" hidden="false" customHeight="true" outlineLevel="0" collapsed="false">
      <c r="A13" s="20" t="s">
        <v>74</v>
      </c>
      <c r="B13" s="21" t="s">
        <v>70</v>
      </c>
      <c r="C13" s="21" t="s">
        <v>75</v>
      </c>
      <c r="D13" s="21" t="s">
        <v>66</v>
      </c>
    </row>
    <row r="14" customFormat="false" ht="21.75" hidden="false" customHeight="true" outlineLevel="0" collapsed="false">
      <c r="A14" s="22" t="s">
        <v>76</v>
      </c>
      <c r="B14" s="23" t="s">
        <v>75</v>
      </c>
      <c r="C14" s="23" t="s">
        <v>75</v>
      </c>
      <c r="D14" s="23" t="s">
        <v>66</v>
      </c>
    </row>
    <row r="15" customFormat="false" ht="21.75" hidden="false" customHeight="true" outlineLevel="0" collapsed="false">
      <c r="A15" s="20" t="s">
        <v>77</v>
      </c>
      <c r="B15" s="21" t="s">
        <v>70</v>
      </c>
      <c r="C15" s="21" t="s">
        <v>75</v>
      </c>
      <c r="D15" s="21" t="s">
        <v>75</v>
      </c>
    </row>
    <row r="16" customFormat="false" ht="21.75" hidden="false" customHeight="true" outlineLevel="0" collapsed="false">
      <c r="A16" s="22" t="s">
        <v>43</v>
      </c>
      <c r="B16" s="23" t="s">
        <v>70</v>
      </c>
      <c r="C16" s="23" t="s">
        <v>75</v>
      </c>
      <c r="D16" s="23" t="s">
        <v>75</v>
      </c>
    </row>
    <row r="17" customFormat="false" ht="21.75" hidden="false" customHeight="true" outlineLevel="0" collapsed="false">
      <c r="A17" s="20" t="s">
        <v>78</v>
      </c>
      <c r="B17" s="21" t="s">
        <v>70</v>
      </c>
      <c r="C17" s="21" t="s">
        <v>75</v>
      </c>
      <c r="D17" s="21" t="s">
        <v>75</v>
      </c>
    </row>
    <row r="18" customFormat="false" ht="21.75" hidden="false" customHeight="true" outlineLevel="0" collapsed="false">
      <c r="A18" s="22" t="s">
        <v>79</v>
      </c>
      <c r="B18" s="23" t="s">
        <v>80</v>
      </c>
      <c r="C18" s="23" t="s">
        <v>81</v>
      </c>
      <c r="D18" s="23" t="s">
        <v>82</v>
      </c>
    </row>
    <row r="19" customFormat="false" ht="21.75" hidden="false" customHeight="true" outlineLevel="0" collapsed="false">
      <c r="A19" s="20" t="s">
        <v>83</v>
      </c>
      <c r="B19" s="21" t="s">
        <v>84</v>
      </c>
      <c r="C19" s="21" t="s">
        <v>85</v>
      </c>
      <c r="D19" s="21" t="s">
        <v>86</v>
      </c>
    </row>
    <row r="20" customFormat="false" ht="21.75" hidden="false" customHeight="true" outlineLevel="0" collapsed="false">
      <c r="A20" s="22" t="s">
        <v>87</v>
      </c>
      <c r="B20" s="23" t="s">
        <v>88</v>
      </c>
      <c r="C20" s="23" t="s">
        <v>89</v>
      </c>
      <c r="D20" s="23" t="s">
        <v>90</v>
      </c>
    </row>
    <row r="21" customFormat="false" ht="21.75" hidden="false" customHeight="true" outlineLevel="0" collapsed="false">
      <c r="A21" s="20" t="s">
        <v>91</v>
      </c>
      <c r="B21" s="21" t="s">
        <v>66</v>
      </c>
      <c r="C21" s="21" t="s">
        <v>66</v>
      </c>
      <c r="D21" s="21" t="s">
        <v>66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"/>
    <col collapsed="false" customWidth="true" hidden="false" outlineLevel="0" max="5" min="3" style="1" width="14"/>
  </cols>
  <sheetData>
    <row r="1" customFormat="false" ht="31.5" hidden="false" customHeight="true" outlineLevel="0" collapsed="false">
      <c r="A1" s="2" t="s">
        <v>92</v>
      </c>
      <c r="B1" s="2"/>
      <c r="C1" s="2"/>
      <c r="D1" s="2"/>
      <c r="E1" s="2"/>
    </row>
    <row r="2" customFormat="false" ht="18" hidden="false" customHeight="true" outlineLevel="0" collapsed="false">
      <c r="A2" s="3" t="s">
        <v>93</v>
      </c>
      <c r="B2" s="3"/>
      <c r="C2" s="3"/>
      <c r="D2" s="3"/>
      <c r="E2" s="3"/>
    </row>
    <row r="4" customFormat="false" ht="30" hidden="false" customHeight="true" outlineLevel="0" collapsed="false">
      <c r="A4" s="24" t="s">
        <v>94</v>
      </c>
      <c r="B4" s="24"/>
      <c r="C4" s="24"/>
      <c r="D4" s="24"/>
      <c r="E4" s="24"/>
    </row>
    <row r="6" customFormat="false" ht="15" hidden="false" customHeight="true" outlineLevel="0" collapsed="false">
      <c r="A6" s="25" t="s">
        <v>95</v>
      </c>
      <c r="B6" s="26" t="s">
        <v>96</v>
      </c>
      <c r="C6" s="25" t="s">
        <v>97</v>
      </c>
      <c r="D6" s="27" t="n">
        <f aca="true">TODAY()</f>
        <v>46235</v>
      </c>
    </row>
    <row r="7" customFormat="false" ht="15" hidden="false" customHeight="true" outlineLevel="0" collapsed="false">
      <c r="A7" s="25" t="s">
        <v>98</v>
      </c>
      <c r="B7" s="27" t="n">
        <f aca="false">D6+30</f>
        <v>46265</v>
      </c>
    </row>
    <row r="9" customFormat="false" ht="15" hidden="false" customHeight="true" outlineLevel="0" collapsed="false">
      <c r="A9" s="4" t="s">
        <v>99</v>
      </c>
      <c r="B9" s="4"/>
    </row>
    <row r="10" customFormat="false" ht="15" hidden="false" customHeight="true" outlineLevel="0" collapsed="false">
      <c r="A10" s="5" t="s">
        <v>100</v>
      </c>
      <c r="B10" s="28"/>
      <c r="C10" s="28"/>
    </row>
    <row r="11" customFormat="false" ht="15" hidden="false" customHeight="true" outlineLevel="0" collapsed="false">
      <c r="A11" s="5" t="s">
        <v>101</v>
      </c>
      <c r="B11" s="28"/>
      <c r="C11" s="28"/>
    </row>
    <row r="12" customFormat="false" ht="15" hidden="false" customHeight="true" outlineLevel="0" collapsed="false">
      <c r="A12" s="5" t="s">
        <v>102</v>
      </c>
      <c r="B12" s="28"/>
      <c r="C12" s="28"/>
    </row>
    <row r="13" customFormat="false" ht="15" hidden="false" customHeight="true" outlineLevel="0" collapsed="false">
      <c r="A13" s="5" t="s">
        <v>103</v>
      </c>
      <c r="B13" s="28"/>
      <c r="C13" s="28"/>
    </row>
    <row r="16" customFormat="false" ht="15" hidden="false" customHeight="true" outlineLevel="0" collapsed="false">
      <c r="A16" s="29" t="s">
        <v>104</v>
      </c>
      <c r="B16" s="29" t="s">
        <v>105</v>
      </c>
      <c r="C16" s="29" t="s">
        <v>106</v>
      </c>
      <c r="D16" s="29" t="s">
        <v>107</v>
      </c>
    </row>
    <row r="17" customFormat="false" ht="15" hidden="false" customHeight="true" outlineLevel="0" collapsed="false">
      <c r="A17" s="30"/>
      <c r="B17" s="12" t="n">
        <v>1</v>
      </c>
      <c r="C17" s="31" t="n">
        <v>0</v>
      </c>
      <c r="D17" s="32" t="n">
        <f aca="false">B17*C17</f>
        <v>0</v>
      </c>
    </row>
    <row r="18" customFormat="false" ht="15" hidden="false" customHeight="true" outlineLevel="0" collapsed="false">
      <c r="A18" s="30"/>
      <c r="B18" s="12" t="n">
        <v>1</v>
      </c>
      <c r="C18" s="31" t="n">
        <v>0</v>
      </c>
      <c r="D18" s="32" t="n">
        <f aca="false">B18*C18</f>
        <v>0</v>
      </c>
    </row>
    <row r="19" customFormat="false" ht="15" hidden="false" customHeight="true" outlineLevel="0" collapsed="false">
      <c r="A19" s="30"/>
      <c r="B19" s="12" t="n">
        <v>1</v>
      </c>
      <c r="C19" s="31" t="n">
        <v>0</v>
      </c>
      <c r="D19" s="32" t="n">
        <f aca="false">B19*C19</f>
        <v>0</v>
      </c>
    </row>
    <row r="20" customFormat="false" ht="15" hidden="false" customHeight="true" outlineLevel="0" collapsed="false">
      <c r="A20" s="30"/>
      <c r="B20" s="12" t="n">
        <v>1</v>
      </c>
      <c r="C20" s="31" t="n">
        <v>0</v>
      </c>
      <c r="D20" s="32" t="n">
        <f aca="false">B20*C20</f>
        <v>0</v>
      </c>
    </row>
    <row r="21" customFormat="false" ht="15" hidden="false" customHeight="true" outlineLevel="0" collapsed="false">
      <c r="A21" s="30"/>
      <c r="B21" s="12" t="n">
        <v>1</v>
      </c>
      <c r="C21" s="31" t="n">
        <v>0</v>
      </c>
      <c r="D21" s="32" t="n">
        <f aca="false">B21*C21</f>
        <v>0</v>
      </c>
    </row>
    <row r="22" customFormat="false" ht="15" hidden="false" customHeight="true" outlineLevel="0" collapsed="false">
      <c r="A22" s="30"/>
      <c r="B22" s="12" t="n">
        <v>1</v>
      </c>
      <c r="C22" s="31" t="n">
        <v>0</v>
      </c>
      <c r="D22" s="32" t="n">
        <f aca="false">B22*C22</f>
        <v>0</v>
      </c>
    </row>
    <row r="23" customFormat="false" ht="15" hidden="false" customHeight="true" outlineLevel="0" collapsed="false">
      <c r="A23" s="30"/>
      <c r="B23" s="12" t="n">
        <v>1</v>
      </c>
      <c r="C23" s="31" t="n">
        <v>0</v>
      </c>
      <c r="D23" s="32" t="n">
        <f aca="false">B23*C23</f>
        <v>0</v>
      </c>
    </row>
    <row r="24" customFormat="false" ht="15" hidden="false" customHeight="true" outlineLevel="0" collapsed="false">
      <c r="A24" s="30"/>
      <c r="B24" s="12" t="n">
        <v>1</v>
      </c>
      <c r="C24" s="31" t="n">
        <v>0</v>
      </c>
      <c r="D24" s="32" t="n">
        <f aca="false">B24*C24</f>
        <v>0</v>
      </c>
    </row>
    <row r="25" customFormat="false" ht="15" hidden="false" customHeight="true" outlineLevel="0" collapsed="false">
      <c r="C25" s="33" t="s">
        <v>108</v>
      </c>
      <c r="D25" s="32" t="n">
        <f aca="false">SUM(D17:D24)</f>
        <v>0</v>
      </c>
    </row>
    <row r="26" customFormat="false" ht="15" hidden="false" customHeight="true" outlineLevel="0" collapsed="false">
      <c r="C26" s="33" t="s">
        <v>109</v>
      </c>
      <c r="D26" s="34" t="n">
        <v>0</v>
      </c>
    </row>
    <row r="27" customFormat="false" ht="15" hidden="false" customHeight="true" outlineLevel="0" collapsed="false">
      <c r="C27" s="33" t="s">
        <v>110</v>
      </c>
      <c r="D27" s="32" t="n">
        <f aca="false">D25*D26</f>
        <v>0</v>
      </c>
    </row>
    <row r="28" customFormat="false" ht="15" hidden="false" customHeight="true" outlineLevel="0" collapsed="false">
      <c r="C28" s="33" t="s">
        <v>111</v>
      </c>
      <c r="D28" s="34" t="n">
        <v>0</v>
      </c>
    </row>
    <row r="29" customFormat="false" ht="15" hidden="false" customHeight="true" outlineLevel="0" collapsed="false">
      <c r="C29" s="35" t="s">
        <v>112</v>
      </c>
      <c r="D29" s="36" t="n">
        <f aca="false">(D25-D27)*(1+D28)</f>
        <v>0</v>
      </c>
    </row>
    <row r="31" customFormat="false" ht="15" hidden="false" customHeight="true" outlineLevel="0" collapsed="false">
      <c r="A31" s="4" t="s">
        <v>113</v>
      </c>
      <c r="B31" s="4"/>
      <c r="C31" s="4"/>
      <c r="D31" s="4"/>
      <c r="E31" s="4"/>
    </row>
    <row r="32" customFormat="false" ht="15.75" hidden="false" customHeight="true" outlineLevel="0" collapsed="false">
      <c r="A32" s="37" t="s">
        <v>114</v>
      </c>
      <c r="B32" s="37"/>
      <c r="C32" s="37"/>
      <c r="D32" s="37"/>
      <c r="E32" s="37"/>
    </row>
    <row r="33" customFormat="false" ht="15.75" hidden="false" customHeight="true" outlineLevel="0" collapsed="false">
      <c r="A33" s="37" t="s">
        <v>115</v>
      </c>
      <c r="B33" s="37"/>
      <c r="C33" s="37"/>
      <c r="D33" s="37"/>
      <c r="E33" s="37"/>
    </row>
    <row r="34" customFormat="false" ht="15.75" hidden="false" customHeight="true" outlineLevel="0" collapsed="false">
      <c r="A34" s="37" t="s">
        <v>116</v>
      </c>
      <c r="B34" s="37"/>
      <c r="C34" s="37"/>
      <c r="D34" s="37"/>
      <c r="E34" s="37"/>
    </row>
    <row r="35" customFormat="false" ht="15.75" hidden="false" customHeight="true" outlineLevel="0" collapsed="false">
      <c r="A35" s="37" t="s">
        <v>117</v>
      </c>
      <c r="B35" s="37"/>
      <c r="C35" s="37"/>
      <c r="D35" s="37"/>
      <c r="E35" s="37"/>
    </row>
    <row r="36" customFormat="false" ht="15.75" hidden="false" customHeight="true" outlineLevel="0" collapsed="false">
      <c r="A36" s="37" t="s">
        <v>118</v>
      </c>
      <c r="B36" s="37"/>
      <c r="C36" s="37"/>
      <c r="D36" s="37"/>
      <c r="E36" s="37"/>
    </row>
    <row r="38" customFormat="false" ht="15" hidden="false" customHeight="true" outlineLevel="0" collapsed="false">
      <c r="A38" s="37" t="s">
        <v>119</v>
      </c>
      <c r="B38" s="37"/>
      <c r="D38" s="37" t="s">
        <v>120</v>
      </c>
      <c r="E38" s="37"/>
    </row>
  </sheetData>
  <mergeCells count="16">
    <mergeCell ref="A1:E1"/>
    <mergeCell ref="A2:E2"/>
    <mergeCell ref="A4:E4"/>
    <mergeCell ref="A9:B9"/>
    <mergeCell ref="B10:C10"/>
    <mergeCell ref="B11:C11"/>
    <mergeCell ref="B12:C12"/>
    <mergeCell ref="B13:C13"/>
    <mergeCell ref="A31:E31"/>
    <mergeCell ref="A32:E32"/>
    <mergeCell ref="A33:E33"/>
    <mergeCell ref="A34:E34"/>
    <mergeCell ref="A35:E35"/>
    <mergeCell ref="A36:E36"/>
    <mergeCell ref="A38:B38"/>
    <mergeCell ref="D38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"/>
    <col collapsed="false" customWidth="true" hidden="false" outlineLevel="0" max="5" min="3" style="1" width="14"/>
  </cols>
  <sheetData>
    <row r="1" customFormat="false" ht="31.5" hidden="false" customHeight="true" outlineLevel="0" collapsed="false">
      <c r="A1" s="2" t="s">
        <v>92</v>
      </c>
      <c r="B1" s="2"/>
      <c r="C1" s="2"/>
      <c r="D1" s="2"/>
      <c r="E1" s="2"/>
    </row>
    <row r="2" customFormat="false" ht="18" hidden="false" customHeight="true" outlineLevel="0" collapsed="false">
      <c r="A2" s="3" t="s">
        <v>93</v>
      </c>
      <c r="B2" s="3"/>
      <c r="C2" s="3"/>
      <c r="D2" s="3"/>
      <c r="E2" s="3"/>
    </row>
    <row r="4" customFormat="false" ht="30" hidden="false" customHeight="true" outlineLevel="0" collapsed="false">
      <c r="A4" s="24" t="s">
        <v>121</v>
      </c>
      <c r="B4" s="24"/>
      <c r="C4" s="24"/>
      <c r="D4" s="24"/>
      <c r="E4" s="24"/>
    </row>
    <row r="6" customFormat="false" ht="15" hidden="false" customHeight="true" outlineLevel="0" collapsed="false">
      <c r="A6" s="25" t="s">
        <v>122</v>
      </c>
      <c r="B6" s="26" t="s">
        <v>123</v>
      </c>
      <c r="C6" s="25" t="s">
        <v>124</v>
      </c>
      <c r="D6" s="27" t="n">
        <f aca="true">TODAY()</f>
        <v>46235</v>
      </c>
    </row>
    <row r="7" customFormat="false" ht="15" hidden="false" customHeight="true" outlineLevel="0" collapsed="false">
      <c r="A7" s="25" t="s">
        <v>125</v>
      </c>
      <c r="B7" s="27" t="n">
        <f aca="false">D6+7</f>
        <v>46242</v>
      </c>
      <c r="C7" s="25" t="s">
        <v>126</v>
      </c>
      <c r="D7" s="26" t="s">
        <v>127</v>
      </c>
    </row>
    <row r="9" customFormat="false" ht="15" hidden="false" customHeight="true" outlineLevel="0" collapsed="false">
      <c r="A9" s="4" t="s">
        <v>128</v>
      </c>
      <c r="B9" s="4"/>
    </row>
    <row r="10" customFormat="false" ht="15" hidden="false" customHeight="true" outlineLevel="0" collapsed="false">
      <c r="A10" s="5" t="s">
        <v>100</v>
      </c>
      <c r="B10" s="28"/>
      <c r="C10" s="28"/>
    </row>
    <row r="11" customFormat="false" ht="15" hidden="false" customHeight="true" outlineLevel="0" collapsed="false">
      <c r="A11" s="5" t="s">
        <v>101</v>
      </c>
      <c r="B11" s="28"/>
      <c r="C11" s="28"/>
    </row>
    <row r="12" customFormat="false" ht="15" hidden="false" customHeight="true" outlineLevel="0" collapsed="false">
      <c r="A12" s="5" t="s">
        <v>102</v>
      </c>
      <c r="B12" s="28"/>
      <c r="C12" s="28"/>
    </row>
    <row r="13" customFormat="false" ht="15" hidden="false" customHeight="true" outlineLevel="0" collapsed="false">
      <c r="A13" s="5" t="s">
        <v>103</v>
      </c>
      <c r="B13" s="28"/>
      <c r="C13" s="28"/>
    </row>
    <row r="16" customFormat="false" ht="15" hidden="false" customHeight="true" outlineLevel="0" collapsed="false">
      <c r="A16" s="29" t="s">
        <v>104</v>
      </c>
      <c r="B16" s="29" t="s">
        <v>105</v>
      </c>
      <c r="C16" s="29" t="s">
        <v>106</v>
      </c>
      <c r="D16" s="29" t="s">
        <v>107</v>
      </c>
    </row>
    <row r="17" customFormat="false" ht="15" hidden="false" customHeight="true" outlineLevel="0" collapsed="false">
      <c r="A17" s="30"/>
      <c r="B17" s="12" t="n">
        <v>1</v>
      </c>
      <c r="C17" s="31" t="n">
        <v>0</v>
      </c>
      <c r="D17" s="32" t="n">
        <f aca="false">B17*C17</f>
        <v>0</v>
      </c>
    </row>
    <row r="18" customFormat="false" ht="15" hidden="false" customHeight="true" outlineLevel="0" collapsed="false">
      <c r="A18" s="30"/>
      <c r="B18" s="12" t="n">
        <v>1</v>
      </c>
      <c r="C18" s="31" t="n">
        <v>0</v>
      </c>
      <c r="D18" s="32" t="n">
        <f aca="false">B18*C18</f>
        <v>0</v>
      </c>
    </row>
    <row r="19" customFormat="false" ht="15" hidden="false" customHeight="true" outlineLevel="0" collapsed="false">
      <c r="A19" s="30"/>
      <c r="B19" s="12" t="n">
        <v>1</v>
      </c>
      <c r="C19" s="31" t="n">
        <v>0</v>
      </c>
      <c r="D19" s="32" t="n">
        <f aca="false">B19*C19</f>
        <v>0</v>
      </c>
    </row>
    <row r="20" customFormat="false" ht="15" hidden="false" customHeight="true" outlineLevel="0" collapsed="false">
      <c r="A20" s="30"/>
      <c r="B20" s="12" t="n">
        <v>1</v>
      </c>
      <c r="C20" s="31" t="n">
        <v>0</v>
      </c>
      <c r="D20" s="32" t="n">
        <f aca="false">B20*C20</f>
        <v>0</v>
      </c>
    </row>
    <row r="21" customFormat="false" ht="15" hidden="false" customHeight="true" outlineLevel="0" collapsed="false">
      <c r="A21" s="30"/>
      <c r="B21" s="12" t="n">
        <v>1</v>
      </c>
      <c r="C21" s="31" t="n">
        <v>0</v>
      </c>
      <c r="D21" s="32" t="n">
        <f aca="false">B21*C21</f>
        <v>0</v>
      </c>
    </row>
    <row r="22" customFormat="false" ht="15" hidden="false" customHeight="true" outlineLevel="0" collapsed="false">
      <c r="A22" s="30"/>
      <c r="B22" s="12" t="n">
        <v>1</v>
      </c>
      <c r="C22" s="31" t="n">
        <v>0</v>
      </c>
      <c r="D22" s="32" t="n">
        <f aca="false">B22*C22</f>
        <v>0</v>
      </c>
    </row>
    <row r="23" customFormat="false" ht="15" hidden="false" customHeight="true" outlineLevel="0" collapsed="false">
      <c r="A23" s="30"/>
      <c r="B23" s="12" t="n">
        <v>1</v>
      </c>
      <c r="C23" s="31" t="n">
        <v>0</v>
      </c>
      <c r="D23" s="32" t="n">
        <f aca="false">B23*C23</f>
        <v>0</v>
      </c>
    </row>
    <row r="24" customFormat="false" ht="15" hidden="false" customHeight="true" outlineLevel="0" collapsed="false">
      <c r="A24" s="30"/>
      <c r="B24" s="12" t="n">
        <v>1</v>
      </c>
      <c r="C24" s="31" t="n">
        <v>0</v>
      </c>
      <c r="D24" s="32" t="n">
        <f aca="false">B24*C24</f>
        <v>0</v>
      </c>
    </row>
    <row r="25" customFormat="false" ht="15" hidden="false" customHeight="true" outlineLevel="0" collapsed="false">
      <c r="C25" s="33" t="s">
        <v>108</v>
      </c>
      <c r="D25" s="32" t="n">
        <f aca="false">SUM(D17:D24)</f>
        <v>0</v>
      </c>
    </row>
    <row r="26" customFormat="false" ht="15" hidden="false" customHeight="true" outlineLevel="0" collapsed="false">
      <c r="C26" s="33" t="s">
        <v>109</v>
      </c>
      <c r="D26" s="34" t="n">
        <v>0</v>
      </c>
    </row>
    <row r="27" customFormat="false" ht="15" hidden="false" customHeight="true" outlineLevel="0" collapsed="false">
      <c r="C27" s="33" t="s">
        <v>110</v>
      </c>
      <c r="D27" s="32" t="n">
        <f aca="false">D25*D26</f>
        <v>0</v>
      </c>
    </row>
    <row r="28" customFormat="false" ht="15" hidden="false" customHeight="true" outlineLevel="0" collapsed="false">
      <c r="C28" s="33" t="s">
        <v>111</v>
      </c>
      <c r="D28" s="34" t="n">
        <v>0</v>
      </c>
    </row>
    <row r="29" customFormat="false" ht="15" hidden="false" customHeight="true" outlineLevel="0" collapsed="false">
      <c r="C29" s="33" t="s">
        <v>129</v>
      </c>
      <c r="D29" s="32" t="n">
        <f aca="false">(D25-D27)*(1+D28)</f>
        <v>0</v>
      </c>
    </row>
    <row r="30" customFormat="false" ht="15" hidden="false" customHeight="true" outlineLevel="0" collapsed="false">
      <c r="C30" s="33" t="s">
        <v>130</v>
      </c>
      <c r="D30" s="31" t="n">
        <v>0</v>
      </c>
    </row>
    <row r="31" customFormat="false" ht="15" hidden="false" customHeight="true" outlineLevel="0" collapsed="false">
      <c r="C31" s="35" t="s">
        <v>131</v>
      </c>
      <c r="D31" s="36" t="n">
        <f aca="false">D29-D30</f>
        <v>0</v>
      </c>
    </row>
    <row r="33" customFormat="false" ht="15" hidden="false" customHeight="true" outlineLevel="0" collapsed="false">
      <c r="A33" s="4" t="s">
        <v>132</v>
      </c>
      <c r="B33" s="4"/>
      <c r="C33" s="4"/>
      <c r="D33" s="4"/>
      <c r="E33" s="4"/>
    </row>
    <row r="34" customFormat="false" ht="15" hidden="false" customHeight="true" outlineLevel="0" collapsed="false">
      <c r="A34" s="5" t="s">
        <v>133</v>
      </c>
      <c r="B34" s="28"/>
      <c r="C34" s="28"/>
    </row>
    <row r="35" customFormat="false" ht="15" hidden="false" customHeight="true" outlineLevel="0" collapsed="false">
      <c r="A35" s="5" t="s">
        <v>134</v>
      </c>
      <c r="B35" s="28"/>
      <c r="C35" s="28"/>
    </row>
    <row r="36" customFormat="false" ht="15" hidden="false" customHeight="true" outlineLevel="0" collapsed="false">
      <c r="A36" s="5" t="s">
        <v>135</v>
      </c>
      <c r="B36" s="28"/>
      <c r="C36" s="28"/>
    </row>
    <row r="37" customFormat="false" ht="15" hidden="false" customHeight="true" outlineLevel="0" collapsed="false">
      <c r="A37" s="5" t="s">
        <v>136</v>
      </c>
      <c r="B37" s="28"/>
      <c r="C37" s="28"/>
    </row>
    <row r="38" customFormat="false" ht="15" hidden="false" customHeight="true" outlineLevel="0" collapsed="false">
      <c r="A38" s="5" t="s">
        <v>137</v>
      </c>
      <c r="B38" s="28"/>
      <c r="C38" s="28"/>
    </row>
    <row r="40" customFormat="false" ht="15" hidden="false" customHeight="true" outlineLevel="0" collapsed="false">
      <c r="A40" s="8" t="s">
        <v>138</v>
      </c>
      <c r="B40" s="8"/>
      <c r="C40" s="8"/>
      <c r="D40" s="8"/>
      <c r="E40" s="8"/>
    </row>
  </sheetData>
  <mergeCells count="15">
    <mergeCell ref="A1:E1"/>
    <mergeCell ref="A2:E2"/>
    <mergeCell ref="A4:E4"/>
    <mergeCell ref="A9:B9"/>
    <mergeCell ref="B10:C10"/>
    <mergeCell ref="B11:C11"/>
    <mergeCell ref="B12:C12"/>
    <mergeCell ref="B13:C13"/>
    <mergeCell ref="A33:E33"/>
    <mergeCell ref="B34:C34"/>
    <mergeCell ref="B35:C35"/>
    <mergeCell ref="B36:C36"/>
    <mergeCell ref="B37:C37"/>
    <mergeCell ref="B38:C38"/>
    <mergeCell ref="A40:E40"/>
  </mergeCells>
  <dataValidations count="1">
    <dataValidation allowBlank="true" errorStyle="stop" operator="between" showDropDown="false" showErrorMessage="false" showInputMessage="false" sqref="D7" type="list">
      <formula1>"Unpaid,Partially Paid,Paid"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2026-07-10T06:22:51Z</dcterms:created>
  <dc:creator>openpyxl</dc:creator>
  <dc:description/>
  <dc:language>en-US</dc:language>
  <cp:lastModifiedBy/>
  <dcterms:modified xsi:type="dcterms:W3CDTF">2026-08-01T01:58:19Z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